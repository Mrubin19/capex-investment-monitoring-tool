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Nowy folder\workbook\"/>
    </mc:Choice>
  </mc:AlternateContent>
  <xr:revisionPtr revIDLastSave="0" documentId="8_{9BC1B56F-A99C-4A1D-98E2-2EBD9529A700}" xr6:coauthVersionLast="47" xr6:coauthVersionMax="47" xr10:uidLastSave="{00000000-0000-0000-0000-000000000000}"/>
  <bookViews>
    <workbookView xWindow="-108" yWindow="-108" windowWidth="30936" windowHeight="16776" xr2:uid="{B901CDEC-1D15-490D-BE31-E6D993B37F1D}"/>
  </bookViews>
  <sheets>
    <sheet name="Dashboard" sheetId="1" r:id="rId1"/>
    <sheet name="CapEx Tracker" sheetId="2" r:id="rId2"/>
    <sheet name="Fixed Ass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3" l="1" a="1"/>
  <c r="F3" i="3" s="1"/>
  <c r="J3" i="3" s="1"/>
  <c r="F4" i="3" a="1"/>
  <c r="F4" i="3" s="1"/>
  <c r="J4" i="3" s="1"/>
  <c r="F5" i="3" a="1"/>
  <c r="F5" i="3" s="1"/>
  <c r="J5" i="3" s="1"/>
  <c r="F6" i="3" a="1"/>
  <c r="F6" i="3" s="1"/>
  <c r="J6" i="3" s="1"/>
  <c r="F7" i="3" a="1"/>
  <c r="F7" i="3" s="1"/>
  <c r="J7" i="3" s="1"/>
  <c r="F8" i="3" a="1"/>
  <c r="F8" i="3" s="1"/>
  <c r="J8" i="3" s="1"/>
  <c r="F9" i="3" a="1"/>
  <c r="F9" i="3" s="1"/>
  <c r="J9" i="3" s="1"/>
  <c r="F10" i="3" a="1"/>
  <c r="F10" i="3" s="1"/>
  <c r="J10" i="3" s="1"/>
  <c r="F11" i="3" a="1"/>
  <c r="F11" i="3" s="1"/>
  <c r="J11" i="3" s="1"/>
  <c r="F2" i="3" a="1"/>
  <c r="F2" i="3" s="1"/>
  <c r="J2" i="3" s="1"/>
  <c r="C9" i="1" a="1"/>
  <c r="C9" i="1" s="1"/>
  <c r="C10" i="1"/>
  <c r="C3" i="1"/>
  <c r="C2" i="1"/>
  <c r="I9" i="2"/>
  <c r="L9" i="2" s="1"/>
  <c r="I10" i="2"/>
  <c r="L10" i="2" s="1"/>
  <c r="I11" i="2"/>
  <c r="L11" i="2" s="1"/>
  <c r="I12" i="2"/>
  <c r="K12" i="2" s="1"/>
  <c r="I13" i="2"/>
  <c r="K13" i="2" s="1"/>
  <c r="I14" i="2"/>
  <c r="L14" i="2" s="1"/>
  <c r="I15" i="2"/>
  <c r="L15" i="2" s="1"/>
  <c r="I16" i="2"/>
  <c r="L16" i="2" s="1"/>
  <c r="I17" i="2"/>
  <c r="L17" i="2" s="1"/>
  <c r="I18" i="2"/>
  <c r="L18" i="2" s="1"/>
  <c r="I19" i="2"/>
  <c r="L19" i="2" s="1"/>
  <c r="I20" i="2"/>
  <c r="L20" i="2" s="1"/>
  <c r="I21" i="2"/>
  <c r="K21" i="2" s="1"/>
  <c r="I22" i="2"/>
  <c r="K22" i="2" s="1"/>
  <c r="I23" i="2"/>
  <c r="L23" i="2" s="1"/>
  <c r="I24" i="2"/>
  <c r="L24" i="2" s="1"/>
  <c r="I25" i="2"/>
  <c r="L25" i="2" s="1"/>
  <c r="I26" i="2"/>
  <c r="L26" i="2" s="1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I3" i="2"/>
  <c r="L3" i="2" s="1"/>
  <c r="I4" i="2"/>
  <c r="L4" i="2" s="1"/>
  <c r="I5" i="2"/>
  <c r="K5" i="2" s="1"/>
  <c r="I6" i="2"/>
  <c r="K6" i="2" s="1"/>
  <c r="I7" i="2"/>
  <c r="L7" i="2" s="1"/>
  <c r="I8" i="2"/>
  <c r="L8" i="2" s="1"/>
  <c r="I2" i="2"/>
  <c r="L2" i="2" s="1"/>
  <c r="H3" i="2"/>
  <c r="H4" i="2"/>
  <c r="H5" i="2"/>
  <c r="H6" i="2"/>
  <c r="H7" i="2"/>
  <c r="H8" i="2"/>
  <c r="H2" i="2"/>
  <c r="L12" i="2" l="1"/>
  <c r="K20" i="2"/>
  <c r="L6" i="2"/>
  <c r="L5" i="2"/>
  <c r="L22" i="2"/>
  <c r="L21" i="2"/>
  <c r="C8" i="1" s="1"/>
  <c r="C4" i="1"/>
  <c r="L13" i="2"/>
  <c r="K14" i="2"/>
  <c r="C5" i="1"/>
  <c r="K4" i="2"/>
  <c r="K26" i="2"/>
  <c r="K18" i="2"/>
  <c r="K10" i="2"/>
  <c r="K24" i="2"/>
  <c r="K16" i="2"/>
  <c r="K8" i="2"/>
  <c r="K25" i="2"/>
  <c r="K17" i="2"/>
  <c r="K9" i="2"/>
  <c r="K23" i="2"/>
  <c r="K15" i="2"/>
  <c r="K7" i="2"/>
  <c r="K2" i="2"/>
  <c r="K19" i="2"/>
  <c r="K11" i="2"/>
  <c r="K3" i="2"/>
  <c r="C7" i="1" l="1"/>
  <c r="C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<sst xmlns="http://schemas.openxmlformats.org/spreadsheetml/2006/main" count="217" uniqueCount="128">
  <si>
    <t>Project ID</t>
  </si>
  <si>
    <t>Project Name</t>
  </si>
  <si>
    <t>Category</t>
  </si>
  <si>
    <t>Planned Budget (PLN)</t>
  </si>
  <si>
    <t>Actual Spend (PLN)</t>
  </si>
  <si>
    <t>Variance (PLN)</t>
  </si>
  <si>
    <t>Variance (%)</t>
  </si>
  <si>
    <t>Completion (%)</t>
  </si>
  <si>
    <t>Status Flag</t>
  </si>
  <si>
    <t>Execution Risk</t>
  </si>
  <si>
    <t>INV-001</t>
  </si>
  <si>
    <t>INV-002</t>
  </si>
  <si>
    <t>INV-003</t>
  </si>
  <si>
    <t>INV-004</t>
  </si>
  <si>
    <t>INV-005</t>
  </si>
  <si>
    <t>INV-006</t>
  </si>
  <si>
    <t>INV-007</t>
  </si>
  <si>
    <t>INV-008</t>
  </si>
  <si>
    <t>INV-009</t>
  </si>
  <si>
    <t>Warehouse Expansion</t>
  </si>
  <si>
    <t>Machinery</t>
  </si>
  <si>
    <t>Construction</t>
  </si>
  <si>
    <t>Technology</t>
  </si>
  <si>
    <t>Equipment</t>
  </si>
  <si>
    <t>INV-010</t>
  </si>
  <si>
    <t>INV-011</t>
  </si>
  <si>
    <t>INV-012</t>
  </si>
  <si>
    <t>INV-013</t>
  </si>
  <si>
    <t>INV-014</t>
  </si>
  <si>
    <t>INV-015</t>
  </si>
  <si>
    <t>INV-016</t>
  </si>
  <si>
    <t>INV-017</t>
  </si>
  <si>
    <t>INV-018</t>
  </si>
  <si>
    <t>INV-019</t>
  </si>
  <si>
    <t>INV-020</t>
  </si>
  <si>
    <t>INV-021</t>
  </si>
  <si>
    <t>INV-022</t>
  </si>
  <si>
    <t>INV-023</t>
  </si>
  <si>
    <t>INV-024</t>
  </si>
  <si>
    <t>INV-025</t>
  </si>
  <si>
    <t>Cooling System Overhaul</t>
  </si>
  <si>
    <t>Solar Panel Installation</t>
  </si>
  <si>
    <t>Office Refurbishment</t>
  </si>
  <si>
    <t>Fire Safety System</t>
  </si>
  <si>
    <t>Automated Palletizer</t>
  </si>
  <si>
    <t>Quality Control Lab</t>
  </si>
  <si>
    <t>Boiler Room Upgrade</t>
  </si>
  <si>
    <t>Security Camera Network</t>
  </si>
  <si>
    <t>Compressed Air System</t>
  </si>
  <si>
    <t>Loading Dock Expansion</t>
  </si>
  <si>
    <t>Vehicles</t>
  </si>
  <si>
    <t>CapEx Investment Monitoring Tool</t>
  </si>
  <si>
    <t>Total CapEx Budget (PLN)</t>
  </si>
  <si>
    <t>Total Actual Spend (PLN)</t>
  </si>
  <si>
    <t>Total Variance (PLN)</t>
  </si>
  <si>
    <t>Budget Utilization %</t>
  </si>
  <si>
    <t>High Risk Projects</t>
  </si>
  <si>
    <t>Projects On Track</t>
  </si>
  <si>
    <t>Total Projects</t>
  </si>
  <si>
    <t>Asset ID</t>
  </si>
  <si>
    <t>Asset Name</t>
  </si>
  <si>
    <t>Purchase Date</t>
  </si>
  <si>
    <t>Original Value (PLN)</t>
  </si>
  <si>
    <t>Book Value (PLN)</t>
  </si>
  <si>
    <t>Location</t>
  </si>
  <si>
    <t>Status</t>
  </si>
  <si>
    <t>SAP Asset No.</t>
  </si>
  <si>
    <t>FA-001</t>
  </si>
  <si>
    <t>FA-002</t>
  </si>
  <si>
    <t>FA-003</t>
  </si>
  <si>
    <t>FA-004</t>
  </si>
  <si>
    <t>FA-005</t>
  </si>
  <si>
    <t>FA-006</t>
  </si>
  <si>
    <t>FA-007</t>
  </si>
  <si>
    <t>FA-008</t>
  </si>
  <si>
    <t>Production Line A</t>
  </si>
  <si>
    <t>Active</t>
  </si>
  <si>
    <t>Disposed</t>
  </si>
  <si>
    <t>Under Maintenance</t>
  </si>
  <si>
    <t>SAP-10045</t>
  </si>
  <si>
    <t>SAP-10078</t>
  </si>
  <si>
    <t>SAP-10031</t>
  </si>
  <si>
    <t>SAP-10012</t>
  </si>
  <si>
    <t>SAP-10091</t>
  </si>
  <si>
    <t>SAP-10055</t>
  </si>
  <si>
    <t>SAP-10103</t>
  </si>
  <si>
    <t>SAP-10022</t>
  </si>
  <si>
    <t>Asset Review Flag</t>
  </si>
  <si>
    <t>Production Line Modernization</t>
  </si>
  <si>
    <t>Packaging Equipment Upgrade</t>
  </si>
  <si>
    <t>ERP System Migration</t>
  </si>
  <si>
    <t>Production Hall Renovation</t>
  </si>
  <si>
    <t>Forklift Fleet Renewal</t>
  </si>
  <si>
    <t>Laboratory Equipment</t>
  </si>
  <si>
    <t>Business Intelligence Platform</t>
  </si>
  <si>
    <t>Conveyor System Replacement</t>
  </si>
  <si>
    <t>Company Vehicle Fleet</t>
  </si>
  <si>
    <t>Wastewater Treatment Plant</t>
  </si>
  <si>
    <t>Specialized Production Unit</t>
  </si>
  <si>
    <t>Staff Facilities Renovation</t>
  </si>
  <si>
    <t>Pilot Production Plant</t>
  </si>
  <si>
    <t>Robotics Integration Project</t>
  </si>
  <si>
    <t>Plant Location</t>
  </si>
  <si>
    <t>Project Manager</t>
  </si>
  <si>
    <t>Plant A</t>
  </si>
  <si>
    <t>Plant B</t>
  </si>
  <si>
    <t>HQ</t>
  </si>
  <si>
    <t>Plant C</t>
  </si>
  <si>
    <t>PM-101</t>
  </si>
  <si>
    <t>PM-102</t>
  </si>
  <si>
    <t>PM-103</t>
  </si>
  <si>
    <t>PM-104</t>
  </si>
  <si>
    <t>PM-105</t>
  </si>
  <si>
    <t>PM-106</t>
  </si>
  <si>
    <t>Projects Flagged</t>
  </si>
  <si>
    <t>Active Plant Locations</t>
  </si>
  <si>
    <t>Forklift Unit #3</t>
  </si>
  <si>
    <t>Server Room Infrastructure</t>
  </si>
  <si>
    <t>Decommissioned Production Unit</t>
  </si>
  <si>
    <t>Industrial Cooling Unit</t>
  </si>
  <si>
    <t>Laboratory Instrument Set</t>
  </si>
  <si>
    <t>Warehouse Shelving System</t>
  </si>
  <si>
    <t>FA-009</t>
  </si>
  <si>
    <t>FA-010</t>
  </si>
  <si>
    <t>Heavy Machinery Unit</t>
  </si>
  <si>
    <t>Quality Testing Equipment</t>
  </si>
  <si>
    <t>SAP-10110</t>
  </si>
  <si>
    <t>SAP-10125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</si>
</sst>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PLN&quot;"/>
    <numFmt numFmtId="165" formatCode="#,##0&quot; PLN&quot;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Segoe UI icons"/>
    </font>
    <font>
      <sz val="11"/>
      <color theme="1"/>
      <name val="Segoe UI icons"/>
    </font>
    <font>
      <b/>
      <sz val="18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3" fillId="3" borderId="1" xfId="0" applyFont="1" applyFill="1" applyBorder="1"/>
    <xf numFmtId="164" fontId="0" fillId="0" borderId="1" xfId="0" applyNumberFormat="1" applyBorder="1"/>
    <xf numFmtId="9" fontId="0" fillId="0" borderId="1" xfId="1" applyFont="1" applyBorder="1"/>
    <xf numFmtId="1" fontId="0" fillId="0" borderId="1" xfId="0" applyNumberFormat="1" applyBorder="1"/>
    <xf numFmtId="1" fontId="8" fillId="0" borderId="1" xfId="0" applyNumberFormat="1" applyFont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65" fontId="0" fillId="0" borderId="0" xfId="0" applyNumberFormat="1"/>
    <xf numFmtId="0" fontId="7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1">
    <dxf>
      <font>
        <b/>
        <i val="0"/>
        <color rgb="FF820000"/>
      </font>
      <fill>
        <patternFill>
          <bgColor rgb="FFFF0000"/>
        </patternFill>
      </fill>
    </dxf>
    <dxf>
      <font>
        <b/>
        <i val="0"/>
        <color theme="5" tint="-0.24994659260841701"/>
      </font>
      <fill>
        <patternFill>
          <bgColor rgb="FFFFEB9C"/>
        </patternFill>
      </fill>
    </dxf>
    <dxf>
      <font>
        <b/>
        <i val="0"/>
        <color theme="9" tint="-0.24994659260841701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9" tint="-0.24994659260841701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icon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164" formatCode="#,##0.00&quot; PLN&quot;"/>
    </dxf>
    <dxf>
      <numFmt numFmtId="164" formatCode="#,##0.00&quot; PLN&quot;"/>
    </dxf>
    <dxf>
      <numFmt numFmtId="164" formatCode="#,##0.00&quot; PLN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6EFCE"/>
      <color rgb="FFFFEB9C"/>
      <color rgb="FF82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Planned vs Actual Spend by Project (PLN)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'CapEx Tracker'!$F$1</c:f>
              <c:strCache>
                <c:ptCount val="1"/>
                <c:pt idx="0">
                  <c:v>Planned Budget (PLN)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'CapEx Tracker'!$B$2:$B$26</c:f>
              <c:strCache>
                <c:ptCount val="25"/>
                <c:pt idx="0">
                  <c:v>Production Line Modernization</c:v>
                </c:pt>
                <c:pt idx="1">
                  <c:v>Warehouse Expansion</c:v>
                </c:pt>
                <c:pt idx="2">
                  <c:v>Packaging Equipment Upgrade</c:v>
                </c:pt>
                <c:pt idx="3">
                  <c:v>ERP System Migration</c:v>
                </c:pt>
                <c:pt idx="4">
                  <c:v>Production Hall Renovation</c:v>
                </c:pt>
                <c:pt idx="5">
                  <c:v>Forklift Fleet Renewal</c:v>
                </c:pt>
                <c:pt idx="6">
                  <c:v>Laboratory Equipment</c:v>
                </c:pt>
                <c:pt idx="7">
                  <c:v>Cooling System Overhaul</c:v>
                </c:pt>
                <c:pt idx="8">
                  <c:v>Solar Panel Installation</c:v>
                </c:pt>
                <c:pt idx="9">
                  <c:v>Business Intelligence Platform</c:v>
                </c:pt>
                <c:pt idx="10">
                  <c:v>Conveyor System Replacement</c:v>
                </c:pt>
                <c:pt idx="11">
                  <c:v>Office Refurbishment</c:v>
                </c:pt>
                <c:pt idx="12">
                  <c:v>Fire Safety System</c:v>
                </c:pt>
                <c:pt idx="13">
                  <c:v>Automated Palletizer</c:v>
                </c:pt>
                <c:pt idx="14">
                  <c:v>Company Vehicle Fleet</c:v>
                </c:pt>
                <c:pt idx="15">
                  <c:v>Quality Control Lab</c:v>
                </c:pt>
                <c:pt idx="16">
                  <c:v>Boiler Room Upgrade</c:v>
                </c:pt>
                <c:pt idx="17">
                  <c:v>Wastewater Treatment Plant</c:v>
                </c:pt>
                <c:pt idx="18">
                  <c:v>Security Camera Network</c:v>
                </c:pt>
                <c:pt idx="19">
                  <c:v>Specialized Production Unit</c:v>
                </c:pt>
                <c:pt idx="20">
                  <c:v>Compressed Air System</c:v>
                </c:pt>
                <c:pt idx="21">
                  <c:v>Staff Facilities Renovation</c:v>
                </c:pt>
                <c:pt idx="22">
                  <c:v>Pilot Production Plant</c:v>
                </c:pt>
                <c:pt idx="23">
                  <c:v>Robotics Integration Project</c:v>
                </c:pt>
                <c:pt idx="24">
                  <c:v>Loading Dock Expansion</c:v>
                </c:pt>
              </c:strCache>
            </c:strRef>
          </c:cat>
          <c:val>
            <c:numRef>
              <c:f>'CapEx Tracker'!$F$2:$F$26</c:f>
              <c:numCache>
                <c:formatCode>#,##0.00" PLN"</c:formatCode>
                <c:ptCount val="25"/>
                <c:pt idx="0">
                  <c:v>500000</c:v>
                </c:pt>
                <c:pt idx="1">
                  <c:v>1200000</c:v>
                </c:pt>
                <c:pt idx="2">
                  <c:v>320000</c:v>
                </c:pt>
                <c:pt idx="3">
                  <c:v>180000</c:v>
                </c:pt>
                <c:pt idx="4">
                  <c:v>430000</c:v>
                </c:pt>
                <c:pt idx="5">
                  <c:v>95000</c:v>
                </c:pt>
                <c:pt idx="6">
                  <c:v>210000</c:v>
                </c:pt>
                <c:pt idx="7">
                  <c:v>375000</c:v>
                </c:pt>
                <c:pt idx="8">
                  <c:v>890000</c:v>
                </c:pt>
                <c:pt idx="9">
                  <c:v>460000</c:v>
                </c:pt>
                <c:pt idx="10">
                  <c:v>145000</c:v>
                </c:pt>
                <c:pt idx="11">
                  <c:v>210000</c:v>
                </c:pt>
                <c:pt idx="12">
                  <c:v>88000</c:v>
                </c:pt>
                <c:pt idx="13">
                  <c:v>670000</c:v>
                </c:pt>
                <c:pt idx="14">
                  <c:v>310000</c:v>
                </c:pt>
                <c:pt idx="15">
                  <c:v>540000</c:v>
                </c:pt>
                <c:pt idx="16">
                  <c:v>290000</c:v>
                </c:pt>
                <c:pt idx="17">
                  <c:v>175000</c:v>
                </c:pt>
                <c:pt idx="18">
                  <c:v>62000</c:v>
                </c:pt>
                <c:pt idx="19">
                  <c:v>420000</c:v>
                </c:pt>
                <c:pt idx="20">
                  <c:v>195000</c:v>
                </c:pt>
                <c:pt idx="21">
                  <c:v>130000</c:v>
                </c:pt>
                <c:pt idx="22">
                  <c:v>980000</c:v>
                </c:pt>
                <c:pt idx="23">
                  <c:v>1450000</c:v>
                </c:pt>
                <c:pt idx="24">
                  <c:v>560000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B-46D7-A5E0-59EEAF9EF847}"/>
            </c:ext>
          </c:extLst>
        </c:ser>
        <c:ser>
          <c:idx val="1"/>
          <c:order val="1"/>
          <c:tx>
            <c:strRef>
              <c:f>'CapEx Tracker'!$G$1</c:f>
              <c:strCache>
                <c:ptCount val="1"/>
                <c:pt idx="0">
                  <c:v>Actual Spend (PLN)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'CapEx Tracker'!$B$2:$B$26</c:f>
              <c:strCache>
                <c:ptCount val="25"/>
                <c:pt idx="0">
                  <c:v>Production Line Modernization</c:v>
                </c:pt>
                <c:pt idx="1">
                  <c:v>Warehouse Expansion</c:v>
                </c:pt>
                <c:pt idx="2">
                  <c:v>Packaging Equipment Upgrade</c:v>
                </c:pt>
                <c:pt idx="3">
                  <c:v>ERP System Migration</c:v>
                </c:pt>
                <c:pt idx="4">
                  <c:v>Production Hall Renovation</c:v>
                </c:pt>
                <c:pt idx="5">
                  <c:v>Forklift Fleet Renewal</c:v>
                </c:pt>
                <c:pt idx="6">
                  <c:v>Laboratory Equipment</c:v>
                </c:pt>
                <c:pt idx="7">
                  <c:v>Cooling System Overhaul</c:v>
                </c:pt>
                <c:pt idx="8">
                  <c:v>Solar Panel Installation</c:v>
                </c:pt>
                <c:pt idx="9">
                  <c:v>Business Intelligence Platform</c:v>
                </c:pt>
                <c:pt idx="10">
                  <c:v>Conveyor System Replacement</c:v>
                </c:pt>
                <c:pt idx="11">
                  <c:v>Office Refurbishment</c:v>
                </c:pt>
                <c:pt idx="12">
                  <c:v>Fire Safety System</c:v>
                </c:pt>
                <c:pt idx="13">
                  <c:v>Automated Palletizer</c:v>
                </c:pt>
                <c:pt idx="14">
                  <c:v>Company Vehicle Fleet</c:v>
                </c:pt>
                <c:pt idx="15">
                  <c:v>Quality Control Lab</c:v>
                </c:pt>
                <c:pt idx="16">
                  <c:v>Boiler Room Upgrade</c:v>
                </c:pt>
                <c:pt idx="17">
                  <c:v>Wastewater Treatment Plant</c:v>
                </c:pt>
                <c:pt idx="18">
                  <c:v>Security Camera Network</c:v>
                </c:pt>
                <c:pt idx="19">
                  <c:v>Specialized Production Unit</c:v>
                </c:pt>
                <c:pt idx="20">
                  <c:v>Compressed Air System</c:v>
                </c:pt>
                <c:pt idx="21">
                  <c:v>Staff Facilities Renovation</c:v>
                </c:pt>
                <c:pt idx="22">
                  <c:v>Pilot Production Plant</c:v>
                </c:pt>
                <c:pt idx="23">
                  <c:v>Robotics Integration Project</c:v>
                </c:pt>
                <c:pt idx="24">
                  <c:v>Loading Dock Expansion</c:v>
                </c:pt>
              </c:strCache>
            </c:strRef>
          </c:cat>
          <c:val>
            <c:numRef>
              <c:f>'CapEx Tracker'!$G$2:$G$26</c:f>
              <c:numCache>
                <c:formatCode>#,##0.00" PLN"</c:formatCode>
                <c:ptCount val="25"/>
                <c:pt idx="0">
                  <c:v>547000</c:v>
                </c:pt>
                <c:pt idx="1">
                  <c:v>1190000</c:v>
                </c:pt>
                <c:pt idx="2">
                  <c:v>290000</c:v>
                </c:pt>
                <c:pt idx="3">
                  <c:v>205000</c:v>
                </c:pt>
                <c:pt idx="4">
                  <c:v>431000</c:v>
                </c:pt>
                <c:pt idx="5">
                  <c:v>88000</c:v>
                </c:pt>
                <c:pt idx="6">
                  <c:v>267000</c:v>
                </c:pt>
                <c:pt idx="7">
                  <c:v>380000</c:v>
                </c:pt>
                <c:pt idx="8">
                  <c:v>820000</c:v>
                </c:pt>
                <c:pt idx="9">
                  <c:v>512000</c:v>
                </c:pt>
                <c:pt idx="10">
                  <c:v>143000</c:v>
                </c:pt>
                <c:pt idx="11">
                  <c:v>275000</c:v>
                </c:pt>
                <c:pt idx="12">
                  <c:v>91000</c:v>
                </c:pt>
                <c:pt idx="13">
                  <c:v>695000</c:v>
                </c:pt>
                <c:pt idx="14">
                  <c:v>298000</c:v>
                </c:pt>
                <c:pt idx="15">
                  <c:v>610000</c:v>
                </c:pt>
                <c:pt idx="16">
                  <c:v>287000</c:v>
                </c:pt>
                <c:pt idx="17">
                  <c:v>174000</c:v>
                </c:pt>
                <c:pt idx="18">
                  <c:v>68000</c:v>
                </c:pt>
                <c:pt idx="19">
                  <c:v>463000</c:v>
                </c:pt>
                <c:pt idx="20">
                  <c:v>193000</c:v>
                </c:pt>
                <c:pt idx="21">
                  <c:v>128000</c:v>
                </c:pt>
                <c:pt idx="22">
                  <c:v>1150000</c:v>
                </c:pt>
                <c:pt idx="23">
                  <c:v>1380000</c:v>
                </c:pt>
                <c:pt idx="24">
                  <c:v>558000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CB-46D7-A5E0-59EEAF9EF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8255759"/>
        <c:axId val="968264399"/>
      </c:barChart>
      <c:catAx>
        <c:axId val="968255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264399"/>
        <c:crosses val="autoZero"/>
        <c:auto val="1"/>
        <c:lblAlgn val="ctr"/>
        <c:lblOffset val="100"/>
        <c:noMultiLvlLbl val="0"/>
      </c:catAx>
      <c:valAx>
        <c:axId val="96826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&quot; PLN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25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accent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xed Assets'!A1"/><Relationship Id="rId2" Type="http://schemas.openxmlformats.org/officeDocument/2006/relationships/hyperlink" Target="#'CapEx Tracker'!A1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483145</xdr:colOff>
      <xdr:row>0</xdr:row>
      <xdr:rowOff>102326</xdr:rowOff>
    </xdr:from>
    <xdr:to>
      <xdr:col>17</xdr:col>
      <xdr:colOff>409485</xdr:colOff>
      <xdr:row>33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B30D67-E6D7-40FE-BF4D-B84D9BFE5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977174</xdr:colOff>
      <xdr:row>12</xdr:row>
      <xdr:rowOff>33745</xdr:rowOff>
    </xdr:from>
    <xdr:to>
      <xdr:col>2</xdr:col>
      <xdr:colOff>933087</xdr:colOff>
      <xdr:row>15</xdr:row>
      <xdr:rowOff>134802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1EB84E-FC88-6BE1-985A-037B839D2FB4}"/>
            </a:ext>
          </a:extLst>
        </xdr:cNvPr>
        <xdr:cNvSpPr/>
      </xdr:nvSpPr>
      <xdr:spPr>
        <a:xfrm>
          <a:off x="1584960" y="2292531"/>
          <a:ext cx="1634127" cy="6453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/>
            <a:t>Go to CapEx Tracker</a:t>
          </a:r>
          <a:endParaRPr lang="en-US" sz="1100" b="1"/>
        </a:p>
      </xdr:txBody>
    </xdr:sp>
    <xdr:clientData/>
  </xdr:twoCellAnchor>
  <xdr:twoCellAnchor>
    <xdr:from>
      <xdr:col>1</xdr:col>
      <xdr:colOff>945969</xdr:colOff>
      <xdr:row>16</xdr:row>
      <xdr:rowOff>151675</xdr:rowOff>
    </xdr:from>
    <xdr:to>
      <xdr:col>2</xdr:col>
      <xdr:colOff>892992</xdr:colOff>
      <xdr:row>20</xdr:row>
      <xdr:rowOff>76383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78D97D-2E99-4722-AF03-622A9C2DDF70}"/>
            </a:ext>
          </a:extLst>
        </xdr:cNvPr>
        <xdr:cNvSpPr/>
      </xdr:nvSpPr>
      <xdr:spPr>
        <a:xfrm>
          <a:off x="1553755" y="3136175"/>
          <a:ext cx="1625237" cy="650422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b="1"/>
            <a:t>Go to </a:t>
          </a:r>
          <a:r>
            <a:rPr lang="pl-PL" b="1"/>
            <a:t>Fixed</a:t>
          </a:r>
          <a:r>
            <a:rPr lang="pl-PL" b="1" baseline="0"/>
            <a:t> Assets</a:t>
          </a:r>
          <a:endParaRPr lang="en-US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F4B1B5-7141-4FF7-B13D-9BAF9BE1A0FC}" name="CapExData" displayName="CapExData" ref="A1:L26" totalsRowShown="0" headerRowDxfId="10">
  <autoFilter ref="A1:L26" xr:uid="{FEF4B1B5-7141-4FF7-B13D-9BAF9BE1A0FC}"/>
  <sortState xmlns:xlrd2="http://schemas.microsoft.com/office/spreadsheetml/2017/richdata2" ref="A2:L26">
    <sortCondition ref="A1:A26"/>
  </sortState>
  <tableColumns count="12">
    <tableColumn id="1" xr3:uid="{C131FCE0-0A4D-46A7-87A5-B6B0A5112B18}" name="Project ID"/>
    <tableColumn id="2" xr3:uid="{ABBEF623-45C6-4130-B507-4290AE070596}" name="Project Name"/>
    <tableColumn id="3" xr3:uid="{B7960E9D-AE92-40FD-B50B-9840FCD36FC8}" name="Category"/>
    <tableColumn id="11" xr3:uid="{CDB04DAC-2D33-408A-815E-86D32EA60912}" name="Plant Location"/>
    <tableColumn id="12" xr3:uid="{173CC01C-13E6-42B9-A059-D8E269276F81}" name="Project Manager"/>
    <tableColumn id="4" xr3:uid="{4B29A8C3-4324-4E58-933A-42EE46F243FF}" name="Planned Budget (PLN)" dataDxfId="9"/>
    <tableColumn id="5" xr3:uid="{DA08DFDB-3CD4-4B3D-89DB-EBD1DF0BD983}" name="Actual Spend (PLN)" dataDxfId="8"/>
    <tableColumn id="6" xr3:uid="{FC0C008D-2000-461F-AAB9-403CFED558F9}" name="Variance (PLN)" dataDxfId="7">
      <calculatedColumnFormula>G2-F2</calculatedColumnFormula>
    </tableColumn>
    <tableColumn id="7" xr3:uid="{00BFCE27-8210-4964-9A29-12D696B090F6}" name="Variance (%)" dataDxfId="6" dataCellStyle="Percent">
      <calculatedColumnFormula>IF(F2=0,"N/A",(G2-F2)/F2)</calculatedColumnFormula>
    </tableColumn>
    <tableColumn id="8" xr3:uid="{FD7CDA75-3BA8-4FC7-A3BC-95D74C60FEAD}" name="Completion (%)" dataCellStyle="Percent"/>
    <tableColumn id="9" xr3:uid="{5D7037CC-2CC4-4159-8252-D8985F3A66F6}" name="Status Flag">
      <calculatedColumnFormula>IF(ABS(I2)&gt;0.1,"FLAG","OK")</calculatedColumnFormula>
    </tableColumn>
    <tableColumn id="10" xr3:uid="{10B4DE7D-33EB-4B46-A6D8-FFE5C895401D}" name="Execution Risk" dataDxfId="5">
      <calculatedColumnFormula>IF(AND(I2&gt;0.1,J2&lt;0.5),"HIGH RISK",IF(ABS(I2)&gt;0.1,"REVIEW","ON TRACK"))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F446-1381-4228-8583-4FD70A484869}">
  <sheetPr codeName="Sheet1">
    <tabColor theme="3" tint="0.499984740745262"/>
  </sheetPr>
  <dimension ref="B1:C10"/>
  <sheetViews>
    <sheetView tabSelected="1" zoomScaleNormal="100" workbookViewId="0">
      <selection activeCell="W31" sqref="W31"/>
    </sheetView>
  </sheetViews>
  <sheetFormatPr defaultRowHeight="14.4"/>
  <cols>
    <col min="2" max="2" width="24.44140625" customWidth="1"/>
    <col min="3" max="3" width="39.77734375" customWidth="1"/>
  </cols>
  <sheetData>
    <row r="1" spans="2:3" ht="34.950000000000003" customHeight="1">
      <c r="B1" s="16" t="s">
        <v>51</v>
      </c>
      <c r="C1" s="16"/>
    </row>
    <row r="2" spans="2:3">
      <c r="B2" s="7" t="s">
        <v>52</v>
      </c>
      <c r="C2" s="8">
        <f>SUM(CapExData[Planned Budget (PLN)])</f>
        <v>10885000</v>
      </c>
    </row>
    <row r="3" spans="2:3">
      <c r="B3" s="7" t="s">
        <v>53</v>
      </c>
      <c r="C3" s="8">
        <f>SUM(CapExData[Actual Spend (PLN)])</f>
        <v>11243000</v>
      </c>
    </row>
    <row r="4" spans="2:3">
      <c r="B4" s="7" t="s">
        <v>54</v>
      </c>
      <c r="C4" s="8">
        <f>SUM(CapExData[Variance (PLN)])</f>
        <v>358000</v>
      </c>
    </row>
    <row r="5" spans="2:3">
      <c r="B5" s="7" t="s">
        <v>55</v>
      </c>
      <c r="C5" s="9">
        <f>C3/C2</f>
        <v>1.0328892971979788</v>
      </c>
    </row>
    <row r="6" spans="2:3">
      <c r="B6" s="7" t="s">
        <v>114</v>
      </c>
      <c r="C6" s="10">
        <f>COUNTIF(CapExData[Status Flag],"FLAG")</f>
        <v>7</v>
      </c>
    </row>
    <row r="7" spans="2:3">
      <c r="B7" s="7" t="s">
        <v>56</v>
      </c>
      <c r="C7" s="10">
        <f>COUNTIF(CapExData[Execution Risk],"HIGH RISK")</f>
        <v>3</v>
      </c>
    </row>
    <row r="8" spans="2:3">
      <c r="B8" s="7" t="s">
        <v>57</v>
      </c>
      <c r="C8" s="10">
        <f>COUNTIF(CapExData[Execution Risk],"ON TRACK")</f>
        <v>18</v>
      </c>
    </row>
    <row r="9" spans="2:3">
      <c r="B9" s="7" t="s">
        <v>115</v>
      </c>
      <c r="C9" s="10" cm="1">
        <f t="array" ref="C9">SUMPRODUCT(1/COUNTIF(CapExData[Plant Location],CapExData[Plant Location]))</f>
        <v>4.0000000000000009</v>
      </c>
    </row>
    <row r="10" spans="2:3">
      <c r="B10" s="7" t="s">
        <v>58</v>
      </c>
      <c r="C10" s="11">
        <f>COUNTA(CapExData[Project ID])</f>
        <v>25</v>
      </c>
    </row>
  </sheetData>
  <mergeCells count="1">
    <mergeCell ref="B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63D9-97F4-4E76-A6AC-F5DFE8C36D9F}">
  <sheetPr codeName="Sheet2">
    <tabColor theme="6" tint="0.39997558519241921"/>
  </sheetPr>
  <dimension ref="A1:L26"/>
  <sheetViews>
    <sheetView zoomScaleNormal="100" workbookViewId="0">
      <pane ySplit="1" topLeftCell="A2" activePane="bottomLeft" state="frozen"/>
      <selection pane="bottomLeft" activeCell="D30" sqref="D30"/>
    </sheetView>
  </sheetViews>
  <sheetFormatPr defaultRowHeight="14.4"/>
  <cols>
    <col min="1" max="1" width="11.109375" customWidth="1"/>
    <col min="2" max="2" width="29.33203125" customWidth="1"/>
    <col min="3" max="3" width="11.5546875" bestFit="1" customWidth="1"/>
    <col min="4" max="4" width="17.21875" bestFit="1" customWidth="1"/>
    <col min="5" max="5" width="18.88671875" bestFit="1" customWidth="1"/>
    <col min="6" max="6" width="21.21875" customWidth="1"/>
    <col min="7" max="7" width="19.21875" customWidth="1"/>
    <col min="8" max="8" width="15.33203125" customWidth="1"/>
    <col min="9" max="9" width="13.6640625" customWidth="1"/>
    <col min="10" max="10" width="16.109375" customWidth="1"/>
    <col min="11" max="11" width="12.21875" customWidth="1"/>
    <col min="12" max="12" width="17" style="6" customWidth="1"/>
  </cols>
  <sheetData>
    <row r="1" spans="1:12" ht="25.05" customHeight="1">
      <c r="A1" s="1" t="s">
        <v>0</v>
      </c>
      <c r="B1" s="1" t="s">
        <v>1</v>
      </c>
      <c r="C1" s="1" t="s">
        <v>2</v>
      </c>
      <c r="D1" s="1" t="s">
        <v>102</v>
      </c>
      <c r="E1" s="1" t="s">
        <v>103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9</v>
      </c>
    </row>
    <row r="2" spans="1:12">
      <c r="A2" t="s">
        <v>10</v>
      </c>
      <c r="B2" t="s">
        <v>88</v>
      </c>
      <c r="C2" t="s">
        <v>20</v>
      </c>
      <c r="D2" t="s">
        <v>104</v>
      </c>
      <c r="E2" t="s">
        <v>108</v>
      </c>
      <c r="F2" s="2">
        <v>500000</v>
      </c>
      <c r="G2" s="2">
        <v>547000</v>
      </c>
      <c r="H2" s="2">
        <f>G2-F2</f>
        <v>47000</v>
      </c>
      <c r="I2" s="4">
        <f>IF(F2=0,"N/A",(G2-F2)/F2)</f>
        <v>9.4E-2</v>
      </c>
      <c r="J2" s="3">
        <v>0.85</v>
      </c>
      <c r="K2" t="str">
        <f>IF(ABS(I2)&gt;0.1,"FLAG","OK")</f>
        <v>OK</v>
      </c>
      <c r="L2" s="6" t="str">
        <f>IF(AND(I2&gt;0.1,J2&lt;0.5),"HIGH RISK",IF(ABS(I2)&gt;0.1,"REVIEW","ON TRACK"))</f>
        <v>ON TRACK</v>
      </c>
    </row>
    <row r="3" spans="1:12">
      <c r="A3" t="s">
        <v>11</v>
      </c>
      <c r="B3" t="s">
        <v>19</v>
      </c>
      <c r="C3" t="s">
        <v>21</v>
      </c>
      <c r="D3" t="s">
        <v>104</v>
      </c>
      <c r="E3" t="s">
        <v>109</v>
      </c>
      <c r="F3" s="2">
        <v>1200000</v>
      </c>
      <c r="G3" s="2">
        <v>1190000</v>
      </c>
      <c r="H3" s="2">
        <f>G3-F3</f>
        <v>-10000</v>
      </c>
      <c r="I3" s="4">
        <f>IF(F3=0,"N/A",(G3-F3)/F3)</f>
        <v>-8.3333333333333332E-3</v>
      </c>
      <c r="J3" s="3">
        <v>0.9</v>
      </c>
      <c r="K3" t="str">
        <f>IF(ABS(I3)&gt;0.1,"FLAG","OK")</f>
        <v>OK</v>
      </c>
      <c r="L3" s="6" t="str">
        <f>IF(AND(I3&gt;0.1,J3&lt;0.5),"HIGH RISK",IF(ABS(I3)&gt;0.1,"REVIEW","ON TRACK"))</f>
        <v>ON TRACK</v>
      </c>
    </row>
    <row r="4" spans="1:12">
      <c r="A4" t="s">
        <v>12</v>
      </c>
      <c r="B4" t="s">
        <v>89</v>
      </c>
      <c r="C4" t="s">
        <v>20</v>
      </c>
      <c r="D4" t="s">
        <v>105</v>
      </c>
      <c r="E4" t="s">
        <v>110</v>
      </c>
      <c r="F4" s="2">
        <v>320000</v>
      </c>
      <c r="G4" s="2">
        <v>290000</v>
      </c>
      <c r="H4" s="2">
        <f>G4-F4</f>
        <v>-30000</v>
      </c>
      <c r="I4" s="4">
        <f>IF(F4=0,"N/A",(G4-F4)/F4)</f>
        <v>-9.375E-2</v>
      </c>
      <c r="J4" s="3">
        <v>1</v>
      </c>
      <c r="K4" t="str">
        <f>IF(ABS(I4)&gt;0.1,"FLAG","OK")</f>
        <v>OK</v>
      </c>
      <c r="L4" s="6" t="str">
        <f>IF(AND(I4&gt;0.1,J4&lt;0.5),"HIGH RISK",IF(ABS(I4)&gt;0.1,"REVIEW","ON TRACK"))</f>
        <v>ON TRACK</v>
      </c>
    </row>
    <row r="5" spans="1:12">
      <c r="A5" t="s">
        <v>13</v>
      </c>
      <c r="B5" t="s">
        <v>90</v>
      </c>
      <c r="C5" t="s">
        <v>22</v>
      </c>
      <c r="D5" t="s">
        <v>106</v>
      </c>
      <c r="E5" t="s">
        <v>111</v>
      </c>
      <c r="F5" s="2">
        <v>180000</v>
      </c>
      <c r="G5" s="2">
        <v>205000</v>
      </c>
      <c r="H5" s="2">
        <f>G5-F5</f>
        <v>25000</v>
      </c>
      <c r="I5" s="4">
        <f>IF(F5=0,"N/A",(G5-F5)/F5)</f>
        <v>0.1388888888888889</v>
      </c>
      <c r="J5" s="3">
        <v>0.6</v>
      </c>
      <c r="K5" t="str">
        <f>IF(ABS(I5)&gt;0.1,"FLAG","OK")</f>
        <v>FLAG</v>
      </c>
      <c r="L5" s="6" t="str">
        <f>IF(AND(I5&gt;0.1,J5&lt;0.5),"HIGH RISK",IF(ABS(I5)&gt;0.1,"REVIEW","ON TRACK"))</f>
        <v>REVIEW</v>
      </c>
    </row>
    <row r="6" spans="1:12">
      <c r="A6" t="s">
        <v>14</v>
      </c>
      <c r="B6" t="s">
        <v>91</v>
      </c>
      <c r="C6" t="s">
        <v>21</v>
      </c>
      <c r="D6" t="s">
        <v>104</v>
      </c>
      <c r="E6" t="s">
        <v>108</v>
      </c>
      <c r="F6" s="2">
        <v>430000</v>
      </c>
      <c r="G6" s="2">
        <v>431000</v>
      </c>
      <c r="H6" s="2">
        <f>G6-F6</f>
        <v>1000</v>
      </c>
      <c r="I6" s="4">
        <f>IF(F6=0,"N/A",(G6-F6)/F6)</f>
        <v>2.3255813953488372E-3</v>
      </c>
      <c r="J6" s="3">
        <v>0.45</v>
      </c>
      <c r="K6" t="str">
        <f>IF(ABS(I6)&gt;0.1,"FLAG","OK")</f>
        <v>OK</v>
      </c>
      <c r="L6" s="6" t="str">
        <f>IF(AND(I6&gt;0.1,J6&lt;0.5),"HIGH RISK",IF(ABS(I6)&gt;0.1,"REVIEW","ON TRACK"))</f>
        <v>ON TRACK</v>
      </c>
    </row>
    <row r="7" spans="1:12">
      <c r="A7" t="s">
        <v>15</v>
      </c>
      <c r="B7" t="s">
        <v>92</v>
      </c>
      <c r="C7" t="s">
        <v>23</v>
      </c>
      <c r="D7" t="s">
        <v>104</v>
      </c>
      <c r="E7" t="s">
        <v>112</v>
      </c>
      <c r="F7" s="2">
        <v>95000</v>
      </c>
      <c r="G7" s="2">
        <v>88000</v>
      </c>
      <c r="H7" s="2">
        <f>G7-F7</f>
        <v>-7000</v>
      </c>
      <c r="I7" s="4">
        <f>IF(F7=0,"N/A",(G7-F7)/F7)</f>
        <v>-7.3684210526315783E-2</v>
      </c>
      <c r="J7" s="3">
        <v>1</v>
      </c>
      <c r="K7" t="str">
        <f>IF(ABS(I7)&gt;0.1,"FLAG","OK")</f>
        <v>OK</v>
      </c>
      <c r="L7" s="6" t="str">
        <f>IF(AND(I7&gt;0.1,J7&lt;0.5),"HIGH RISK",IF(ABS(I7)&gt;0.1,"REVIEW","ON TRACK"))</f>
        <v>ON TRACK</v>
      </c>
    </row>
    <row r="8" spans="1:12">
      <c r="A8" t="s">
        <v>16</v>
      </c>
      <c r="B8" t="s">
        <v>93</v>
      </c>
      <c r="C8" t="s">
        <v>20</v>
      </c>
      <c r="D8" t="s">
        <v>107</v>
      </c>
      <c r="E8" t="s">
        <v>113</v>
      </c>
      <c r="F8" s="2">
        <v>210000</v>
      </c>
      <c r="G8" s="2">
        <v>267000</v>
      </c>
      <c r="H8" s="2">
        <f>G8-F8</f>
        <v>57000</v>
      </c>
      <c r="I8" s="4">
        <f>IF(F8=0,"N/A",(G8-F8)/F8)</f>
        <v>0.27142857142857141</v>
      </c>
      <c r="J8" s="3">
        <v>0.7</v>
      </c>
      <c r="K8" t="str">
        <f>IF(ABS(I8)&gt;0.1,"FLAG","OK")</f>
        <v>FLAG</v>
      </c>
      <c r="L8" s="6" t="str">
        <f>IF(AND(I8&gt;0.1,J8&lt;0.5),"HIGH RISK",IF(ABS(I8)&gt;0.1,"REVIEW","ON TRACK"))</f>
        <v>REVIEW</v>
      </c>
    </row>
    <row r="9" spans="1:12">
      <c r="A9" t="s">
        <v>17</v>
      </c>
      <c r="B9" t="s">
        <v>40</v>
      </c>
      <c r="C9" t="s">
        <v>20</v>
      </c>
      <c r="D9" t="s">
        <v>105</v>
      </c>
      <c r="E9" t="s">
        <v>110</v>
      </c>
      <c r="F9" s="2">
        <v>375000</v>
      </c>
      <c r="G9" s="2">
        <v>380000</v>
      </c>
      <c r="H9" s="2">
        <f>G9-F9</f>
        <v>5000</v>
      </c>
      <c r="I9" s="4">
        <f>IF(F9=0,"N/A",(G9-F9)/F9)</f>
        <v>1.3333333333333334E-2</v>
      </c>
      <c r="J9" s="3">
        <v>0.95</v>
      </c>
      <c r="K9" t="str">
        <f>IF(ABS(I9)&gt;0.1,"FLAG","OK")</f>
        <v>OK</v>
      </c>
      <c r="L9" s="6" t="str">
        <f>IF(AND(I9&gt;0.1,J9&lt;0.5),"HIGH RISK",IF(ABS(I9)&gt;0.1,"REVIEW","ON TRACK"))</f>
        <v>ON TRACK</v>
      </c>
    </row>
    <row r="10" spans="1:12">
      <c r="A10" t="s">
        <v>18</v>
      </c>
      <c r="B10" t="s">
        <v>41</v>
      </c>
      <c r="C10" t="s">
        <v>21</v>
      </c>
      <c r="D10" t="s">
        <v>104</v>
      </c>
      <c r="E10" t="s">
        <v>109</v>
      </c>
      <c r="F10" s="2">
        <v>890000</v>
      </c>
      <c r="G10" s="2">
        <v>820000</v>
      </c>
      <c r="H10" s="2">
        <f>G10-F10</f>
        <v>-70000</v>
      </c>
      <c r="I10" s="4">
        <f>IF(F10=0,"N/A",(G10-F10)/F10)</f>
        <v>-7.8651685393258425E-2</v>
      </c>
      <c r="J10" s="3">
        <v>0.75</v>
      </c>
      <c r="K10" t="str">
        <f>IF(ABS(I10)&gt;0.1,"FLAG","OK")</f>
        <v>OK</v>
      </c>
      <c r="L10" s="6" t="str">
        <f>IF(AND(I10&gt;0.1,J10&lt;0.5),"HIGH RISK",IF(ABS(I10)&gt;0.1,"REVIEW","ON TRACK"))</f>
        <v>ON TRACK</v>
      </c>
    </row>
    <row r="11" spans="1:12">
      <c r="A11" t="s">
        <v>24</v>
      </c>
      <c r="B11" t="s">
        <v>94</v>
      </c>
      <c r="C11" t="s">
        <v>22</v>
      </c>
      <c r="D11" t="s">
        <v>106</v>
      </c>
      <c r="E11" t="s">
        <v>111</v>
      </c>
      <c r="F11" s="2">
        <v>460000</v>
      </c>
      <c r="G11" s="2">
        <v>512000</v>
      </c>
      <c r="H11" s="2">
        <f>G11-F11</f>
        <v>52000</v>
      </c>
      <c r="I11" s="4">
        <f>IF(F11=0,"N/A",(G11-F11)/F11)</f>
        <v>0.11304347826086956</v>
      </c>
      <c r="J11" s="3">
        <v>0.55000000000000004</v>
      </c>
      <c r="K11" t="str">
        <f>IF(ABS(I11)&gt;0.1,"FLAG","OK")</f>
        <v>FLAG</v>
      </c>
      <c r="L11" s="6" t="str">
        <f>IF(AND(I11&gt;0.1,J11&lt;0.5),"HIGH RISK",IF(ABS(I11)&gt;0.1,"REVIEW","ON TRACK"))</f>
        <v>REVIEW</v>
      </c>
    </row>
    <row r="12" spans="1:12">
      <c r="A12" t="s">
        <v>25</v>
      </c>
      <c r="B12" t="s">
        <v>95</v>
      </c>
      <c r="C12" t="s">
        <v>20</v>
      </c>
      <c r="D12" t="s">
        <v>104</v>
      </c>
      <c r="E12" t="s">
        <v>108</v>
      </c>
      <c r="F12" s="2">
        <v>145000</v>
      </c>
      <c r="G12" s="2">
        <v>143000</v>
      </c>
      <c r="H12" s="2">
        <f>G12-F12</f>
        <v>-2000</v>
      </c>
      <c r="I12" s="4">
        <f>IF(F12=0,"N/A",(G12-F12)/F12)</f>
        <v>-1.3793103448275862E-2</v>
      </c>
      <c r="J12" s="3">
        <v>1</v>
      </c>
      <c r="K12" t="str">
        <f>IF(ABS(I12)&gt;0.1,"FLAG","OK")</f>
        <v>OK</v>
      </c>
      <c r="L12" s="6" t="str">
        <f>IF(AND(I12&gt;0.1,J12&lt;0.5),"HIGH RISK",IF(ABS(I12)&gt;0.1,"REVIEW","ON TRACK"))</f>
        <v>ON TRACK</v>
      </c>
    </row>
    <row r="13" spans="1:12">
      <c r="A13" t="s">
        <v>26</v>
      </c>
      <c r="B13" t="s">
        <v>42</v>
      </c>
      <c r="C13" t="s">
        <v>21</v>
      </c>
      <c r="D13" t="s">
        <v>106</v>
      </c>
      <c r="E13" t="s">
        <v>112</v>
      </c>
      <c r="F13" s="2">
        <v>210000</v>
      </c>
      <c r="G13" s="2">
        <v>275000</v>
      </c>
      <c r="H13" s="2">
        <f>G13-F13</f>
        <v>65000</v>
      </c>
      <c r="I13" s="4">
        <f>IF(F13=0,"N/A",(G13-F13)/F13)</f>
        <v>0.30952380952380953</v>
      </c>
      <c r="J13" s="3">
        <v>0.35</v>
      </c>
      <c r="K13" t="str">
        <f>IF(ABS(I13)&gt;0.1,"FLAG","OK")</f>
        <v>FLAG</v>
      </c>
      <c r="L13" s="6" t="str">
        <f>IF(AND(I13&gt;0.1,J13&lt;0.5),"HIGH RISK",IF(ABS(I13)&gt;0.1,"REVIEW","ON TRACK"))</f>
        <v>HIGH RISK</v>
      </c>
    </row>
    <row r="14" spans="1:12">
      <c r="A14" t="s">
        <v>27</v>
      </c>
      <c r="B14" t="s">
        <v>43</v>
      </c>
      <c r="C14" t="s">
        <v>23</v>
      </c>
      <c r="D14" t="s">
        <v>105</v>
      </c>
      <c r="E14" t="s">
        <v>110</v>
      </c>
      <c r="F14" s="2">
        <v>88000</v>
      </c>
      <c r="G14" s="2">
        <v>91000</v>
      </c>
      <c r="H14" s="2">
        <f>G14-F14</f>
        <v>3000</v>
      </c>
      <c r="I14" s="4">
        <f>IF(F14=0,"N/A",(G14-F14)/F14)</f>
        <v>3.4090909090909088E-2</v>
      </c>
      <c r="J14" s="3">
        <v>1</v>
      </c>
      <c r="K14" t="str">
        <f>IF(ABS(I14)&gt;0.1,"FLAG","OK")</f>
        <v>OK</v>
      </c>
      <c r="L14" s="6" t="str">
        <f>IF(AND(I14&gt;0.1,J14&lt;0.5),"HIGH RISK",IF(ABS(I14)&gt;0.1,"REVIEW","ON TRACK"))</f>
        <v>ON TRACK</v>
      </c>
    </row>
    <row r="15" spans="1:12">
      <c r="A15" t="s">
        <v>28</v>
      </c>
      <c r="B15" t="s">
        <v>44</v>
      </c>
      <c r="C15" t="s">
        <v>20</v>
      </c>
      <c r="D15" t="s">
        <v>104</v>
      </c>
      <c r="E15" t="s">
        <v>109</v>
      </c>
      <c r="F15" s="2">
        <v>670000</v>
      </c>
      <c r="G15" s="2">
        <v>695000</v>
      </c>
      <c r="H15" s="2">
        <f>G15-F15</f>
        <v>25000</v>
      </c>
      <c r="I15" s="4">
        <f>IF(F15=0,"N/A",(G15-F15)/F15)</f>
        <v>3.7313432835820892E-2</v>
      </c>
      <c r="J15" s="3">
        <v>0.8</v>
      </c>
      <c r="K15" t="str">
        <f>IF(ABS(I15)&gt;0.1,"FLAG","OK")</f>
        <v>OK</v>
      </c>
      <c r="L15" s="6" t="str">
        <f>IF(AND(I15&gt;0.1,J15&lt;0.5),"HIGH RISK",IF(ABS(I15)&gt;0.1,"REVIEW","ON TRACK"))</f>
        <v>ON TRACK</v>
      </c>
    </row>
    <row r="16" spans="1:12">
      <c r="A16" t="s">
        <v>29</v>
      </c>
      <c r="B16" t="s">
        <v>96</v>
      </c>
      <c r="C16" t="s">
        <v>50</v>
      </c>
      <c r="D16" t="s">
        <v>104</v>
      </c>
      <c r="E16" t="s">
        <v>112</v>
      </c>
      <c r="F16" s="2">
        <v>310000</v>
      </c>
      <c r="G16" s="2">
        <v>298000</v>
      </c>
      <c r="H16" s="2">
        <f>G16-F16</f>
        <v>-12000</v>
      </c>
      <c r="I16" s="4">
        <f>IF(F16=0,"N/A",(G16-F16)/F16)</f>
        <v>-3.870967741935484E-2</v>
      </c>
      <c r="J16" s="3">
        <v>1</v>
      </c>
      <c r="K16" t="str">
        <f>IF(ABS(I16)&gt;0.1,"FLAG","OK")</f>
        <v>OK</v>
      </c>
      <c r="L16" s="6" t="str">
        <f>IF(AND(I16&gt;0.1,J16&lt;0.5),"HIGH RISK",IF(ABS(I16)&gt;0.1,"REVIEW","ON TRACK"))</f>
        <v>ON TRACK</v>
      </c>
    </row>
    <row r="17" spans="1:12">
      <c r="A17" t="s">
        <v>30</v>
      </c>
      <c r="B17" t="s">
        <v>45</v>
      </c>
      <c r="C17" t="s">
        <v>22</v>
      </c>
      <c r="D17" t="s">
        <v>107</v>
      </c>
      <c r="E17" t="s">
        <v>113</v>
      </c>
      <c r="F17" s="2">
        <v>540000</v>
      </c>
      <c r="G17" s="2">
        <v>610000</v>
      </c>
      <c r="H17" s="2">
        <f>G17-F17</f>
        <v>70000</v>
      </c>
      <c r="I17" s="4">
        <f>IF(F17=0,"N/A",(G17-F17)/F17)</f>
        <v>0.12962962962962962</v>
      </c>
      <c r="J17" s="3">
        <v>0.45</v>
      </c>
      <c r="K17" t="str">
        <f>IF(ABS(I17)&gt;0.1,"FLAG","OK")</f>
        <v>FLAG</v>
      </c>
      <c r="L17" s="6" t="str">
        <f>IF(AND(I17&gt;0.1,J17&lt;0.5),"HIGH RISK",IF(ABS(I17)&gt;0.1,"REVIEW","ON TRACK"))</f>
        <v>HIGH RISK</v>
      </c>
    </row>
    <row r="18" spans="1:12">
      <c r="A18" t="s">
        <v>31</v>
      </c>
      <c r="B18" t="s">
        <v>46</v>
      </c>
      <c r="C18" t="s">
        <v>20</v>
      </c>
      <c r="D18" t="s">
        <v>105</v>
      </c>
      <c r="E18" t="s">
        <v>110</v>
      </c>
      <c r="F18" s="2">
        <v>290000</v>
      </c>
      <c r="G18" s="2">
        <v>287000</v>
      </c>
      <c r="H18" s="2">
        <f>G18-F18</f>
        <v>-3000</v>
      </c>
      <c r="I18" s="4">
        <f>IF(F18=0,"N/A",(G18-F18)/F18)</f>
        <v>-1.0344827586206896E-2</v>
      </c>
      <c r="J18" s="3">
        <v>1</v>
      </c>
      <c r="K18" t="str">
        <f>IF(ABS(I18)&gt;0.1,"FLAG","OK")</f>
        <v>OK</v>
      </c>
      <c r="L18" s="6" t="str">
        <f>IF(AND(I18&gt;0.1,J18&lt;0.5),"HIGH RISK",IF(ABS(I18)&gt;0.1,"REVIEW","ON TRACK"))</f>
        <v>ON TRACK</v>
      </c>
    </row>
    <row r="19" spans="1:12">
      <c r="A19" t="s">
        <v>32</v>
      </c>
      <c r="B19" t="s">
        <v>97</v>
      </c>
      <c r="C19" t="s">
        <v>21</v>
      </c>
      <c r="D19" t="s">
        <v>104</v>
      </c>
      <c r="E19" t="s">
        <v>108</v>
      </c>
      <c r="F19" s="2">
        <v>175000</v>
      </c>
      <c r="G19" s="2">
        <v>174000</v>
      </c>
      <c r="H19" s="2">
        <f>G19-F19</f>
        <v>-1000</v>
      </c>
      <c r="I19" s="4">
        <f>IF(F19=0,"N/A",(G19-F19)/F19)</f>
        <v>-5.7142857142857143E-3</v>
      </c>
      <c r="J19" s="3">
        <v>0.98</v>
      </c>
      <c r="K19" t="str">
        <f>IF(ABS(I19)&gt;0.1,"FLAG","OK")</f>
        <v>OK</v>
      </c>
      <c r="L19" s="6" t="str">
        <f>IF(AND(I19&gt;0.1,J19&lt;0.5),"HIGH RISK",IF(ABS(I19)&gt;0.1,"REVIEW","ON TRACK"))</f>
        <v>ON TRACK</v>
      </c>
    </row>
    <row r="20" spans="1:12">
      <c r="A20" t="s">
        <v>33</v>
      </c>
      <c r="B20" t="s">
        <v>47</v>
      </c>
      <c r="C20" t="s">
        <v>22</v>
      </c>
      <c r="D20" t="s">
        <v>104</v>
      </c>
      <c r="E20" t="s">
        <v>112</v>
      </c>
      <c r="F20" s="2">
        <v>62000</v>
      </c>
      <c r="G20" s="2">
        <v>68000</v>
      </c>
      <c r="H20" s="2">
        <f>G20-F20</f>
        <v>6000</v>
      </c>
      <c r="I20" s="4">
        <f>IF(F20=0,"N/A",(G20-F20)/F20)</f>
        <v>9.6774193548387094E-2</v>
      </c>
      <c r="J20" s="3">
        <v>0.9</v>
      </c>
      <c r="K20" t="str">
        <f>IF(ABS(I20)&gt;0.1,"FLAG","OK")</f>
        <v>OK</v>
      </c>
      <c r="L20" s="6" t="str">
        <f>IF(AND(I20&gt;0.1,J20&lt;0.5),"HIGH RISK",IF(ABS(I20)&gt;0.1,"REVIEW","ON TRACK"))</f>
        <v>ON TRACK</v>
      </c>
    </row>
    <row r="21" spans="1:12">
      <c r="A21" t="s">
        <v>34</v>
      </c>
      <c r="B21" t="s">
        <v>98</v>
      </c>
      <c r="C21" t="s">
        <v>23</v>
      </c>
      <c r="D21" t="s">
        <v>107</v>
      </c>
      <c r="E21" t="s">
        <v>113</v>
      </c>
      <c r="F21" s="2">
        <v>420000</v>
      </c>
      <c r="G21" s="2">
        <v>463000</v>
      </c>
      <c r="H21" s="2">
        <f>G21-F21</f>
        <v>43000</v>
      </c>
      <c r="I21" s="4">
        <f>IF(F21=0,"N/A",(G21-F21)/F21)</f>
        <v>0.10238095238095238</v>
      </c>
      <c r="J21" s="3">
        <v>0.5</v>
      </c>
      <c r="K21" t="str">
        <f>IF(ABS(I21)&gt;0.1,"FLAG","OK")</f>
        <v>FLAG</v>
      </c>
      <c r="L21" s="6" t="str">
        <f>IF(AND(I21&gt;0.1,J21&lt;0.5),"HIGH RISK",IF(ABS(I21)&gt;0.1,"REVIEW","ON TRACK"))</f>
        <v>REVIEW</v>
      </c>
    </row>
    <row r="22" spans="1:12">
      <c r="A22" t="s">
        <v>35</v>
      </c>
      <c r="B22" t="s">
        <v>48</v>
      </c>
      <c r="C22" t="s">
        <v>20</v>
      </c>
      <c r="D22" t="s">
        <v>105</v>
      </c>
      <c r="E22" t="s">
        <v>110</v>
      </c>
      <c r="F22" s="2">
        <v>195000</v>
      </c>
      <c r="G22" s="2">
        <v>193000</v>
      </c>
      <c r="H22" s="2">
        <f>G22-F22</f>
        <v>-2000</v>
      </c>
      <c r="I22" s="4">
        <f>IF(F22=0,"N/A",(G22-F22)/F22)</f>
        <v>-1.0256410256410256E-2</v>
      </c>
      <c r="J22" s="3">
        <v>1</v>
      </c>
      <c r="K22" t="str">
        <f>IF(ABS(I22)&gt;0.1,"FLAG","OK")</f>
        <v>OK</v>
      </c>
      <c r="L22" s="6" t="str">
        <f>IF(AND(I22&gt;0.1,J22&lt;0.5),"HIGH RISK",IF(ABS(I22)&gt;0.1,"REVIEW","ON TRACK"))</f>
        <v>ON TRACK</v>
      </c>
    </row>
    <row r="23" spans="1:12">
      <c r="A23" t="s">
        <v>36</v>
      </c>
      <c r="B23" t="s">
        <v>99</v>
      </c>
      <c r="C23" t="s">
        <v>21</v>
      </c>
      <c r="D23" t="s">
        <v>104</v>
      </c>
      <c r="E23" t="s">
        <v>112</v>
      </c>
      <c r="F23" s="2">
        <v>130000</v>
      </c>
      <c r="G23" s="2">
        <v>128000</v>
      </c>
      <c r="H23" s="2">
        <f>G23-F23</f>
        <v>-2000</v>
      </c>
      <c r="I23" s="4">
        <f>IF(F23=0,"N/A",(G23-F23)/F23)</f>
        <v>-1.5384615384615385E-2</v>
      </c>
      <c r="J23" s="3">
        <v>1</v>
      </c>
      <c r="K23" t="str">
        <f>IF(ABS(I23)&gt;0.1,"FLAG","OK")</f>
        <v>OK</v>
      </c>
      <c r="L23" s="6" t="str">
        <f>IF(AND(I23&gt;0.1,J23&lt;0.5),"HIGH RISK",IF(ABS(I23)&gt;0.1,"REVIEW","ON TRACK"))</f>
        <v>ON TRACK</v>
      </c>
    </row>
    <row r="24" spans="1:12">
      <c r="A24" t="s">
        <v>37</v>
      </c>
      <c r="B24" t="s">
        <v>100</v>
      </c>
      <c r="C24" t="s">
        <v>21</v>
      </c>
      <c r="D24" t="s">
        <v>107</v>
      </c>
      <c r="E24" t="s">
        <v>113</v>
      </c>
      <c r="F24" s="2">
        <v>980000</v>
      </c>
      <c r="G24" s="2">
        <v>1150000</v>
      </c>
      <c r="H24" s="2">
        <f>G24-F24</f>
        <v>170000</v>
      </c>
      <c r="I24" s="4">
        <f>IF(F24=0,"N/A",(G24-F24)/F24)</f>
        <v>0.17346938775510204</v>
      </c>
      <c r="J24" s="3">
        <v>0.3</v>
      </c>
      <c r="K24" t="str">
        <f>IF(ABS(I24)&gt;0.1,"FLAG","OK")</f>
        <v>FLAG</v>
      </c>
      <c r="L24" s="6" t="str">
        <f>IF(AND(I24&gt;0.1,J24&lt;0.5),"HIGH RISK",IF(ABS(I24)&gt;0.1,"REVIEW","ON TRACK"))</f>
        <v>HIGH RISK</v>
      </c>
    </row>
    <row r="25" spans="1:12">
      <c r="A25" t="s">
        <v>38</v>
      </c>
      <c r="B25" t="s">
        <v>101</v>
      </c>
      <c r="C25" t="s">
        <v>22</v>
      </c>
      <c r="D25" t="s">
        <v>104</v>
      </c>
      <c r="E25" t="s">
        <v>109</v>
      </c>
      <c r="F25" s="2">
        <v>1450000</v>
      </c>
      <c r="G25" s="2">
        <v>1380000</v>
      </c>
      <c r="H25" s="2">
        <f>G25-F25</f>
        <v>-70000</v>
      </c>
      <c r="I25" s="4">
        <f>IF(F25=0,"N/A",(G25-F25)/F25)</f>
        <v>-4.8275862068965517E-2</v>
      </c>
      <c r="J25" s="3">
        <v>0.65</v>
      </c>
      <c r="K25" t="str">
        <f>IF(ABS(I25)&gt;0.1,"FLAG","OK")</f>
        <v>OK</v>
      </c>
      <c r="L25" s="6" t="str">
        <f>IF(AND(I25&gt;0.1,J25&lt;0.5),"HIGH RISK",IF(ABS(I25)&gt;0.1,"REVIEW","ON TRACK"))</f>
        <v>ON TRACK</v>
      </c>
    </row>
    <row r="26" spans="1:12">
      <c r="A26" t="s">
        <v>39</v>
      </c>
      <c r="B26" t="s">
        <v>49</v>
      </c>
      <c r="C26" t="s">
        <v>21</v>
      </c>
      <c r="D26" t="s">
        <v>104</v>
      </c>
      <c r="E26" t="s">
        <v>108</v>
      </c>
      <c r="F26" s="2">
        <v>560000</v>
      </c>
      <c r="G26" s="2">
        <v>558000</v>
      </c>
      <c r="H26" s="2">
        <f>G26-F26</f>
        <v>-2000</v>
      </c>
      <c r="I26" s="4">
        <f>IF(F26=0,"N/A",(G26-F26)/F26)</f>
        <v>-3.5714285714285713E-3</v>
      </c>
      <c r="J26" s="3">
        <v>0.99</v>
      </c>
      <c r="K26" t="str">
        <f>IF(ABS(I26)&gt;0.1,"FLAG","OK")</f>
        <v>OK</v>
      </c>
      <c r="L26" s="6" t="str">
        <f>IF(AND(I26&gt;0.1,J26&lt;0.5),"HIGH RISK",IF(ABS(I26)&gt;0.1,"REVIEW","ON TRACK"))</f>
        <v>ON TRACK</v>
      </c>
    </row>
  </sheetData>
  <phoneticPr fontId="4" type="noConversion"/>
  <conditionalFormatting sqref="K2:K26">
    <cfRule type="cellIs" dxfId="4" priority="4" operator="equal">
      <formula>"OK"</formula>
    </cfRule>
    <cfRule type="cellIs" dxfId="3" priority="5" operator="equal">
      <formula>"FLAG"</formula>
    </cfRule>
  </conditionalFormatting>
  <conditionalFormatting sqref="L2:L26">
    <cfRule type="cellIs" dxfId="2" priority="1" operator="equal">
      <formula>"ON TRACK"</formula>
    </cfRule>
    <cfRule type="cellIs" dxfId="1" priority="2" operator="equal">
      <formula>"REVIEW"</formula>
    </cfRule>
    <cfRule type="cellIs" dxfId="0" priority="3" operator="equal">
      <formula>"HIGH RISK"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415C-6801-414C-975E-FAD281DAE258}">
  <sheetPr codeName="Sheet3">
    <tabColor theme="5" tint="-0.249977111117893"/>
  </sheetPr>
  <dimension ref="A1:J11"/>
  <sheetViews>
    <sheetView workbookViewId="0">
      <pane ySplit="1" topLeftCell="A2" activePane="bottomLeft" state="frozen"/>
      <selection pane="bottomLeft" activeCell="F13" sqref="F13"/>
    </sheetView>
  </sheetViews>
  <sheetFormatPr defaultRowHeight="14.4"/>
  <cols>
    <col min="2" max="2" width="28.109375" bestFit="1" customWidth="1"/>
    <col min="3" max="3" width="11.44140625" customWidth="1"/>
    <col min="4" max="4" width="13" bestFit="1" customWidth="1"/>
    <col min="5" max="5" width="17.44140625" bestFit="1" customWidth="1"/>
    <col min="6" max="6" width="15" bestFit="1" customWidth="1"/>
    <col min="7" max="7" width="15.6640625" customWidth="1"/>
    <col min="8" max="8" width="17.109375" bestFit="1" customWidth="1"/>
    <col min="9" max="9" width="12.33203125" bestFit="1" customWidth="1"/>
    <col min="10" max="10" width="15.88671875" customWidth="1"/>
  </cols>
  <sheetData>
    <row r="1" spans="1:10" s="13" customFormat="1" ht="25.05" customHeight="1">
      <c r="A1" s="12" t="s">
        <v>59</v>
      </c>
      <c r="B1" s="12" t="s">
        <v>60</v>
      </c>
      <c r="C1" s="12" t="s">
        <v>2</v>
      </c>
      <c r="D1" s="12" t="s">
        <v>61</v>
      </c>
      <c r="E1" s="12" t="s">
        <v>62</v>
      </c>
      <c r="F1" s="12" t="s">
        <v>63</v>
      </c>
      <c r="G1" s="12" t="s">
        <v>64</v>
      </c>
      <c r="H1" s="12" t="s">
        <v>65</v>
      </c>
      <c r="I1" s="12" t="s">
        <v>66</v>
      </c>
      <c r="J1" s="12" t="s">
        <v>87</v>
      </c>
    </row>
    <row r="2" spans="1:10">
      <c r="A2" t="s">
        <v>67</v>
      </c>
      <c r="B2" t="s">
        <v>75</v>
      </c>
      <c r="C2" t="s">
        <v>20</v>
      </c>
      <c r="D2" s="14">
        <v>43891</v>
      </c>
      <c r="E2" s="15">
        <v>850000</v>
      </c>
      <c r="F2" s="15" cm="1">
        <f t="array" aca="1" ref="F2" ca="1">IF(H2="Disposed",0,MAX(0,E2-((E2/_xlfn.IFS(C2="Machinery",12,C2="Construction",30,C2="Technology",4,C2="Vehicles",6,C2="Equipment",8,C2="Furniture",7,TRUE,10))*(YEAR(TODAY())-YEAR(D2)))))</f>
        <v>425000</v>
      </c>
      <c r="G2" t="s">
        <v>104</v>
      </c>
      <c r="H2" t="s">
        <v>76</v>
      </c>
      <c r="I2" t="s">
        <v>79</v>
      </c>
      <c r="J2" t="str">
        <f ca="1">IF(AND(F2=0,H2&lt;&gt;"Disposed"),"⚑ REVIEW NEEDED","")</f>
        <v/>
      </c>
    </row>
    <row r="3" spans="1:10">
      <c r="A3" t="s">
        <v>68</v>
      </c>
      <c r="B3" t="s">
        <v>116</v>
      </c>
      <c r="C3" t="s">
        <v>50</v>
      </c>
      <c r="D3" s="14">
        <v>44362</v>
      </c>
      <c r="E3" s="15">
        <v>95000</v>
      </c>
      <c r="F3" s="15" cm="1">
        <f t="array" aca="1" ref="F3" ca="1">IF(H3="Disposed",0,MAX(0,E3-((E3/_xlfn.IFS(C3="Machinery",12,C3="Construction",30,C3="Technology",4,C3="Vehicles",6,C3="Equipment",8,C3="Furniture",7,TRUE,10))*(YEAR(TODAY())-YEAR(D3)))))</f>
        <v>15833.333333333328</v>
      </c>
      <c r="G3" t="s">
        <v>104</v>
      </c>
      <c r="H3" t="s">
        <v>76</v>
      </c>
      <c r="I3" t="s">
        <v>80</v>
      </c>
      <c r="J3" t="str">
        <f t="shared" ref="J3:J11" ca="1" si="0">IF(AND(F3=0,H3&lt;&gt;"Disposed"),"⚑ REVIEW NEEDED","")</f>
        <v/>
      </c>
    </row>
    <row r="4" spans="1:10">
      <c r="A4" t="s">
        <v>69</v>
      </c>
      <c r="B4" t="s">
        <v>117</v>
      </c>
      <c r="C4" t="s">
        <v>22</v>
      </c>
      <c r="D4" s="14">
        <v>43779</v>
      </c>
      <c r="E4" s="15">
        <v>180000</v>
      </c>
      <c r="F4" s="15" cm="1">
        <f t="array" aca="1" ref="F4" ca="1">IF(H4="Disposed",0,MAX(0,E4-((E4/_xlfn.IFS(C4="Machinery",12,C4="Construction",30,C4="Technology",4,C4="Vehicles",6,C4="Equipment",8,C4="Furniture",7,TRUE,10))*(YEAR(TODAY())-YEAR(D4)))))</f>
        <v>0</v>
      </c>
      <c r="G4" t="s">
        <v>106</v>
      </c>
      <c r="H4" t="s">
        <v>76</v>
      </c>
      <c r="I4" t="s">
        <v>81</v>
      </c>
      <c r="J4" t="str">
        <f t="shared" ca="1" si="0"/>
        <v>⚑ REVIEW NEEDED</v>
      </c>
    </row>
    <row r="5" spans="1:10">
      <c r="A5" t="s">
        <v>70</v>
      </c>
      <c r="B5" t="s">
        <v>118</v>
      </c>
      <c r="C5" t="s">
        <v>20</v>
      </c>
      <c r="D5" s="14">
        <v>42026</v>
      </c>
      <c r="E5" s="15">
        <v>320000</v>
      </c>
      <c r="F5" s="15" cm="1">
        <f t="array" aca="1" ref="F5" ca="1">IF(H5="Disposed",0,MAX(0,E5-((E5/_xlfn.IFS(C5="Machinery",12,C5="Construction",30,C5="Technology",4,C5="Vehicles",6,C5="Equipment",8,C5="Furniture",7,TRUE,10))*(YEAR(TODAY())-YEAR(D5)))))</f>
        <v>0</v>
      </c>
      <c r="G5" t="s">
        <v>105</v>
      </c>
      <c r="H5" t="s">
        <v>77</v>
      </c>
      <c r="I5" t="s">
        <v>82</v>
      </c>
      <c r="J5" t="str">
        <f t="shared" ca="1" si="0"/>
        <v/>
      </c>
    </row>
    <row r="6" spans="1:10">
      <c r="A6" t="s">
        <v>71</v>
      </c>
      <c r="B6" t="s">
        <v>119</v>
      </c>
      <c r="C6" t="s">
        <v>20</v>
      </c>
      <c r="D6" s="14">
        <v>44656</v>
      </c>
      <c r="E6" s="15">
        <v>210000</v>
      </c>
      <c r="F6" s="15" cm="1">
        <f t="array" aca="1" ref="F6" ca="1">IF(H6="Disposed",0,MAX(0,E6-((E6/_xlfn.IFS(C6="Machinery",12,C6="Construction",30,C6="Technology",4,C6="Vehicles",6,C6="Equipment",8,C6="Furniture",7,TRUE,10))*(YEAR(TODAY())-YEAR(D6)))))</f>
        <v>140000</v>
      </c>
      <c r="G6" t="s">
        <v>104</v>
      </c>
      <c r="H6" t="s">
        <v>76</v>
      </c>
      <c r="I6" t="s">
        <v>83</v>
      </c>
      <c r="J6" t="str">
        <f t="shared" ca="1" si="0"/>
        <v/>
      </c>
    </row>
    <row r="7" spans="1:10">
      <c r="A7" t="s">
        <v>72</v>
      </c>
      <c r="B7" t="s">
        <v>96</v>
      </c>
      <c r="C7" t="s">
        <v>50</v>
      </c>
      <c r="D7" s="14">
        <v>44061</v>
      </c>
      <c r="E7" s="15">
        <v>310000</v>
      </c>
      <c r="F7" s="15" cm="1">
        <f t="array" aca="1" ref="F7" ca="1">IF(H7="Disposed",0,MAX(0,E7-((E7/_xlfn.IFS(C7="Machinery",12,C7="Construction",30,C7="Technology",4,C7="Vehicles",6,C7="Equipment",8,C7="Furniture",7,TRUE,10))*(YEAR(TODAY())-YEAR(D7)))))</f>
        <v>0</v>
      </c>
      <c r="G7" t="s">
        <v>104</v>
      </c>
      <c r="H7" t="s">
        <v>76</v>
      </c>
      <c r="I7" t="s">
        <v>84</v>
      </c>
      <c r="J7" t="str">
        <f t="shared" ca="1" si="0"/>
        <v>⚑ REVIEW NEEDED</v>
      </c>
    </row>
    <row r="8" spans="1:10">
      <c r="A8" t="s">
        <v>73</v>
      </c>
      <c r="B8" t="s">
        <v>120</v>
      </c>
      <c r="C8" t="s">
        <v>22</v>
      </c>
      <c r="D8" s="14">
        <v>44971</v>
      </c>
      <c r="E8" s="15">
        <v>75000</v>
      </c>
      <c r="F8" s="15" cm="1">
        <f t="array" aca="1" ref="F8" ca="1">IF(H8="Disposed",0,MAX(0,E8-((E8/_xlfn.IFS(C8="Machinery",12,C8="Construction",30,C8="Technology",4,C8="Vehicles",6,C8="Equipment",8,C8="Furniture",7,TRUE,10))*(YEAR(TODAY())-YEAR(D8)))))</f>
        <v>18750</v>
      </c>
      <c r="G8" t="s">
        <v>107</v>
      </c>
      <c r="H8" t="s">
        <v>76</v>
      </c>
      <c r="I8" t="s">
        <v>85</v>
      </c>
      <c r="J8" t="str">
        <f t="shared" ca="1" si="0"/>
        <v/>
      </c>
    </row>
    <row r="9" spans="1:10">
      <c r="A9" t="s">
        <v>74</v>
      </c>
      <c r="B9" t="s">
        <v>121</v>
      </c>
      <c r="C9" t="s">
        <v>23</v>
      </c>
      <c r="D9" s="14">
        <v>43311</v>
      </c>
      <c r="E9" s="15">
        <v>45000</v>
      </c>
      <c r="F9" s="15" cm="1">
        <f t="array" aca="1" ref="F9" ca="1">IF(H9="Disposed",0,MAX(0,E9-((E9/_xlfn.IFS(C9="Machinery",12,C9="Construction",30,C9="Technology",4,C9="Vehicles",6,C9="Equipment",8,C9="Furniture",7,TRUE,10))*(YEAR(TODAY())-YEAR(D9)))))</f>
        <v>0</v>
      </c>
      <c r="G9" t="s">
        <v>104</v>
      </c>
      <c r="H9" t="s">
        <v>78</v>
      </c>
      <c r="I9" t="s">
        <v>86</v>
      </c>
      <c r="J9" t="str">
        <f t="shared" ca="1" si="0"/>
        <v>⚑ REVIEW NEEDED</v>
      </c>
    </row>
    <row r="10" spans="1:10">
      <c r="A10" t="s">
        <v>122</v>
      </c>
      <c r="B10" t="s">
        <v>124</v>
      </c>
      <c r="C10" t="s">
        <v>20</v>
      </c>
      <c r="D10" s="14">
        <v>44459</v>
      </c>
      <c r="E10" s="15">
        <v>1200000</v>
      </c>
      <c r="F10" s="15" cm="1">
        <f t="array" aca="1" ref="F10" ca="1">IF(H10="Disposed",0,MAX(0,E10-((E10/_xlfn.IFS(C10="Machinery",12,C10="Construction",30,C10="Technology",4,C10="Vehicles",6,C10="Equipment",8,C10="Furniture",7,TRUE,10))*(YEAR(TODAY())-YEAR(D10)))))</f>
        <v>700000</v>
      </c>
      <c r="G10" t="s">
        <v>107</v>
      </c>
      <c r="H10" t="s">
        <v>76</v>
      </c>
      <c r="I10" t="s">
        <v>126</v>
      </c>
      <c r="J10" t="str">
        <f t="shared" ca="1" si="0"/>
        <v/>
      </c>
    </row>
    <row r="11" spans="1:10">
      <c r="A11" t="s">
        <v>123</v>
      </c>
      <c r="B11" t="s">
        <v>125</v>
      </c>
      <c r="C11" t="s">
        <v>22</v>
      </c>
      <c r="D11" s="14">
        <v>45393</v>
      </c>
      <c r="E11" s="15">
        <v>320000</v>
      </c>
      <c r="F11" s="15" cm="1">
        <f t="array" aca="1" ref="F11" ca="1">IF(H11="Disposed",0,MAX(0,E11-((E11/_xlfn.IFS(C11="Machinery",12,C11="Construction",30,C11="Technology",4,C11="Vehicles",6,C11="Equipment",8,C11="Furniture",7,TRUE,10))*(YEAR(TODAY())-YEAR(D11)))))</f>
        <v>160000</v>
      </c>
      <c r="G11" t="s">
        <v>105</v>
      </c>
      <c r="H11" t="s">
        <v>76</v>
      </c>
      <c r="I11" t="s">
        <v>127</v>
      </c>
      <c r="J11" t="str">
        <f t="shared" ca="1" si="0"/>
        <v/>
      </c>
    </row>
  </sheetData>
  <phoneticPr fontId="4" type="noConversion"/>
  <dataValidations count="2">
    <dataValidation type="list" allowBlank="1" showInputMessage="1" showErrorMessage="1" sqref="H12:H50" xr:uid="{B9BF81CC-EE81-4E2B-BCED-A597AB553382}">
      <formula1>"Active,Disposed,Under Maintenance,Under Review"</formula1>
    </dataValidation>
    <dataValidation type="list" allowBlank="1" showInputMessage="1" showErrorMessage="1" sqref="C12:C50" xr:uid="{5D033B3B-A88A-48AE-83BC-2E3613C22954}">
      <formula1>"Machinery,Construction,Technology,Equipment,Vehicles,Furniture"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CapEx Tracker</vt:lpstr>
      <vt:lpstr>Fixed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Rubin (194536)</dc:creator>
  <cp:lastModifiedBy>Marcin Rubin (194536)</cp:lastModifiedBy>
  <dcterms:created xsi:type="dcterms:W3CDTF">2026-05-12T07:56:58Z</dcterms:created>
  <dcterms:modified xsi:type="dcterms:W3CDTF">2026-05-28T22:53:13Z</dcterms:modified>
</cp:coreProperties>
</file>